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ebas\Desktop\Microproyecto 3\"/>
    </mc:Choice>
  </mc:AlternateContent>
  <xr:revisionPtr revIDLastSave="0" documentId="13_ncr:1_{40CDDE38-B45A-4039-9BD6-E67C075485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Empotrado_Empotrado" sheetId="1" r:id="rId1"/>
    <sheet name="2_Abisagrado_Abisagrado" sheetId="2" r:id="rId2"/>
    <sheet name="3_Empotrado_Abisagrado" sheetId="3" r:id="rId3"/>
    <sheet name="4_Empotrado_Libr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4" l="1"/>
  <c r="C23" i="4"/>
  <c r="E23" i="4" s="1"/>
  <c r="F22" i="4"/>
  <c r="C22" i="4"/>
  <c r="E22" i="4" s="1"/>
  <c r="F21" i="4"/>
  <c r="C21" i="4"/>
  <c r="E21" i="4" s="1"/>
  <c r="F20" i="4"/>
  <c r="C20" i="4"/>
  <c r="E20" i="4" s="1"/>
  <c r="F19" i="4"/>
  <c r="C19" i="4"/>
  <c r="E19" i="4" s="1"/>
  <c r="F18" i="4"/>
  <c r="C18" i="4"/>
  <c r="E18" i="4" s="1"/>
  <c r="F17" i="4"/>
  <c r="C17" i="4"/>
  <c r="E17" i="4" s="1"/>
  <c r="F16" i="4"/>
  <c r="C16" i="4"/>
  <c r="E16" i="4" s="1"/>
  <c r="F15" i="4"/>
  <c r="C15" i="4"/>
  <c r="E15" i="4" s="1"/>
  <c r="F14" i="4"/>
  <c r="C14" i="4"/>
  <c r="E14" i="4" s="1"/>
  <c r="F13" i="4"/>
  <c r="C13" i="4"/>
  <c r="E13" i="4" s="1"/>
  <c r="F12" i="4"/>
  <c r="C12" i="4"/>
  <c r="E12" i="4" s="1"/>
  <c r="F11" i="4"/>
  <c r="C11" i="4"/>
  <c r="E11" i="4" s="1"/>
  <c r="F10" i="4"/>
  <c r="C10" i="4"/>
  <c r="E10" i="4" s="1"/>
  <c r="F9" i="4"/>
  <c r="C9" i="4"/>
  <c r="E9" i="4" s="1"/>
  <c r="F8" i="4"/>
  <c r="C8" i="4"/>
  <c r="E8" i="4" s="1"/>
  <c r="F7" i="4"/>
  <c r="C7" i="4"/>
  <c r="E7" i="4" s="1"/>
  <c r="F6" i="4"/>
  <c r="C6" i="4"/>
  <c r="E6" i="4" s="1"/>
  <c r="F5" i="4"/>
  <c r="C5" i="4"/>
  <c r="E5" i="4" s="1"/>
  <c r="F4" i="4"/>
  <c r="C4" i="4"/>
  <c r="E4" i="4" s="1"/>
  <c r="F3" i="4"/>
  <c r="C3" i="4"/>
  <c r="E3" i="4" s="1"/>
  <c r="F23" i="3"/>
  <c r="C23" i="3"/>
  <c r="E23" i="3" s="1"/>
  <c r="F22" i="3"/>
  <c r="C22" i="3"/>
  <c r="E22" i="3" s="1"/>
  <c r="F21" i="3"/>
  <c r="C21" i="3"/>
  <c r="E21" i="3" s="1"/>
  <c r="F20" i="3"/>
  <c r="C20" i="3"/>
  <c r="E20" i="3" s="1"/>
  <c r="F19" i="3"/>
  <c r="C19" i="3"/>
  <c r="E19" i="3" s="1"/>
  <c r="F18" i="3"/>
  <c r="C18" i="3"/>
  <c r="E18" i="3" s="1"/>
  <c r="F17" i="3"/>
  <c r="C17" i="3"/>
  <c r="E17" i="3" s="1"/>
  <c r="F16" i="3"/>
  <c r="C16" i="3"/>
  <c r="E16" i="3" s="1"/>
  <c r="F15" i="3"/>
  <c r="C15" i="3"/>
  <c r="E15" i="3" s="1"/>
  <c r="F14" i="3"/>
  <c r="C14" i="3"/>
  <c r="E14" i="3" s="1"/>
  <c r="F13" i="3"/>
  <c r="C13" i="3"/>
  <c r="F12" i="3"/>
  <c r="C12" i="3"/>
  <c r="E12" i="3" s="1"/>
  <c r="F11" i="3"/>
  <c r="C11" i="3"/>
  <c r="E11" i="3" s="1"/>
  <c r="F10" i="3"/>
  <c r="C10" i="3"/>
  <c r="E10" i="3" s="1"/>
  <c r="F9" i="3"/>
  <c r="C9" i="3"/>
  <c r="E9" i="3" s="1"/>
  <c r="F8" i="3"/>
  <c r="C8" i="3"/>
  <c r="E8" i="3" s="1"/>
  <c r="F7" i="3"/>
  <c r="C7" i="3"/>
  <c r="E7" i="3" s="1"/>
  <c r="F6" i="3"/>
  <c r="C6" i="3"/>
  <c r="E6" i="3" s="1"/>
  <c r="F5" i="3"/>
  <c r="C5" i="3"/>
  <c r="E5" i="3" s="1"/>
  <c r="F4" i="3"/>
  <c r="C4" i="3"/>
  <c r="E4" i="3" s="1"/>
  <c r="F3" i="3"/>
  <c r="C3" i="3"/>
  <c r="F23" i="2"/>
  <c r="C23" i="2"/>
  <c r="E23" i="2" s="1"/>
  <c r="F22" i="2"/>
  <c r="C22" i="2"/>
  <c r="E22" i="2" s="1"/>
  <c r="F21" i="2"/>
  <c r="C21" i="2"/>
  <c r="E21" i="2" s="1"/>
  <c r="F20" i="2"/>
  <c r="C20" i="2"/>
  <c r="E20" i="2" s="1"/>
  <c r="F19" i="2"/>
  <c r="C19" i="2"/>
  <c r="E19" i="2" s="1"/>
  <c r="F18" i="2"/>
  <c r="C18" i="2"/>
  <c r="E18" i="2" s="1"/>
  <c r="F17" i="2"/>
  <c r="C17" i="2"/>
  <c r="E17" i="2" s="1"/>
  <c r="F16" i="2"/>
  <c r="C16" i="2"/>
  <c r="E16" i="2" s="1"/>
  <c r="F15" i="2"/>
  <c r="C15" i="2"/>
  <c r="E15" i="2" s="1"/>
  <c r="F14" i="2"/>
  <c r="C14" i="2"/>
  <c r="E14" i="2" s="1"/>
  <c r="F13" i="2"/>
  <c r="C13" i="2"/>
  <c r="E13" i="2" s="1"/>
  <c r="F12" i="2"/>
  <c r="C12" i="2"/>
  <c r="E12" i="2" s="1"/>
  <c r="F11" i="2"/>
  <c r="C11" i="2"/>
  <c r="E11" i="2" s="1"/>
  <c r="F10" i="2"/>
  <c r="C10" i="2"/>
  <c r="E10" i="2" s="1"/>
  <c r="F9" i="2"/>
  <c r="C9" i="2"/>
  <c r="E9" i="2" s="1"/>
  <c r="F8" i="2"/>
  <c r="C8" i="2"/>
  <c r="E8" i="2" s="1"/>
  <c r="F7" i="2"/>
  <c r="C7" i="2"/>
  <c r="E7" i="2" s="1"/>
  <c r="F6" i="2"/>
  <c r="C6" i="2"/>
  <c r="E6" i="2" s="1"/>
  <c r="F5" i="2"/>
  <c r="C5" i="2"/>
  <c r="E5" i="2" s="1"/>
  <c r="F4" i="2"/>
  <c r="C4" i="2"/>
  <c r="E4" i="2" s="1"/>
  <c r="F3" i="2"/>
  <c r="C3" i="2"/>
  <c r="E3" i="2" s="1"/>
  <c r="C25" i="2" s="1"/>
  <c r="F23" i="1"/>
  <c r="C23" i="1"/>
  <c r="E23" i="1" s="1"/>
  <c r="F22" i="1"/>
  <c r="C22" i="1"/>
  <c r="E22" i="1" s="1"/>
  <c r="F21" i="1"/>
  <c r="C21" i="1"/>
  <c r="E21" i="1" s="1"/>
  <c r="F20" i="1"/>
  <c r="C20" i="1"/>
  <c r="E20" i="1" s="1"/>
  <c r="F19" i="1"/>
  <c r="C19" i="1"/>
  <c r="E19" i="1" s="1"/>
  <c r="F18" i="1"/>
  <c r="C18" i="1"/>
  <c r="E18" i="1" s="1"/>
  <c r="F17" i="1"/>
  <c r="C17" i="1"/>
  <c r="E17" i="1" s="1"/>
  <c r="F16" i="1"/>
  <c r="C16" i="1"/>
  <c r="E16" i="1" s="1"/>
  <c r="F15" i="1"/>
  <c r="C15" i="1"/>
  <c r="E15" i="1" s="1"/>
  <c r="F14" i="1"/>
  <c r="C14" i="1"/>
  <c r="E14" i="1" s="1"/>
  <c r="F13" i="1"/>
  <c r="C13" i="1"/>
  <c r="E13" i="1" s="1"/>
  <c r="F12" i="1"/>
  <c r="C12" i="1"/>
  <c r="E12" i="1" s="1"/>
  <c r="F11" i="1"/>
  <c r="C11" i="1"/>
  <c r="E11" i="1" s="1"/>
  <c r="F10" i="1"/>
  <c r="C10" i="1"/>
  <c r="E10" i="1" s="1"/>
  <c r="F9" i="1"/>
  <c r="C9" i="1"/>
  <c r="E9" i="1" s="1"/>
  <c r="F8" i="1"/>
  <c r="C8" i="1"/>
  <c r="E8" i="1" s="1"/>
  <c r="F7" i="1"/>
  <c r="C7" i="1"/>
  <c r="E7" i="1" s="1"/>
  <c r="F6" i="1"/>
  <c r="C6" i="1"/>
  <c r="E6" i="1" s="1"/>
  <c r="F5" i="1"/>
  <c r="C5" i="1"/>
  <c r="E5" i="1" s="1"/>
  <c r="F4" i="1"/>
  <c r="C4" i="1"/>
  <c r="E4" i="1" s="1"/>
  <c r="F3" i="1"/>
  <c r="C3" i="1"/>
  <c r="E3" i="1" s="1"/>
  <c r="E13" i="3" l="1"/>
  <c r="E3" i="3"/>
  <c r="C25" i="3" s="1"/>
  <c r="C25" i="1"/>
  <c r="C25" i="4"/>
</calcChain>
</file>

<file path=xl/sharedStrings.xml><?xml version="1.0" encoding="utf-8"?>
<sst xmlns="http://schemas.openxmlformats.org/spreadsheetml/2006/main" count="28" uniqueCount="7">
  <si>
    <t>X</t>
  </si>
  <si>
    <t>Y Teórica</t>
  </si>
  <si>
    <t>Y Experimental</t>
  </si>
  <si>
    <t>Y Teórica Normalizada</t>
  </si>
  <si>
    <t>Y Experimental Normalizada</t>
  </si>
  <si>
    <t>RMSE (Fórmula):</t>
  </si>
  <si>
    <t>RMSE (Valor Python):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</si>
</sst>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US"/>
              <a:t>Curva de Flexión: Empotrado - Empotrado (x = 2L/3)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'1_Empotrado_Empotrado'!$E$2</c:f>
              <c:strCache>
                <c:ptCount val="1"/>
                <c:pt idx="0">
                  <c:v>Y Teórica Normalizada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'1_Empotrado_Empotrado'!$B$3:$B$23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'1_Empotrado_Empotrado'!$E$3:$E$23</c:f>
              <c:numCache>
                <c:formatCode>General</c:formatCode>
                <c:ptCount val="21"/>
                <c:pt idx="0">
                  <c:v>0</c:v>
                </c:pt>
                <c:pt idx="1">
                  <c:v>2.1718239477224684E-2</c:v>
                </c:pt>
                <c:pt idx="2">
                  <c:v>8.1491447241975809E-2</c:v>
                </c:pt>
                <c:pt idx="3">
                  <c:v>0.17124735729386895</c:v>
                </c:pt>
                <c:pt idx="4">
                  <c:v>0.28291370363251978</c:v>
                </c:pt>
                <c:pt idx="5">
                  <c:v>0.40841822025754376</c:v>
                </c:pt>
                <c:pt idx="6">
                  <c:v>0.53968864116855675</c:v>
                </c:pt>
                <c:pt idx="7">
                  <c:v>0.66865270036517399</c:v>
                </c:pt>
                <c:pt idx="8">
                  <c:v>0.78723813184701141</c:v>
                </c:pt>
                <c:pt idx="9">
                  <c:v>0.88737266961368455</c:v>
                </c:pt>
                <c:pt idx="10">
                  <c:v>0.96098404766480883</c:v>
                </c:pt>
                <c:pt idx="11">
                  <c:v>1</c:v>
                </c:pt>
                <c:pt idx="12">
                  <c:v>0.99634826061887405</c:v>
                </c:pt>
                <c:pt idx="13">
                  <c:v>0.94195656352104529</c:v>
                </c:pt>
                <c:pt idx="14">
                  <c:v>0.83029021718239504</c:v>
                </c:pt>
                <c:pt idx="15">
                  <c:v>0.67268883336536622</c:v>
                </c:pt>
                <c:pt idx="16">
                  <c:v>0.49202383240438197</c:v>
                </c:pt>
                <c:pt idx="17">
                  <c:v>0.31135883144339704</c:v>
                </c:pt>
                <c:pt idx="18">
                  <c:v>0.15375744762636923</c:v>
                </c:pt>
                <c:pt idx="19">
                  <c:v>4.2283298097253251E-2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C2-4658-85F8-9916B7CFC33A}"/>
            </c:ext>
          </c:extLst>
        </c:ser>
        <c:ser>
          <c:idx val="1"/>
          <c:order val="1"/>
          <c:tx>
            <c:strRef>
              <c:f>'1_Empotrado_Empotrado'!$F$2</c:f>
              <c:strCache>
                <c:ptCount val="1"/>
                <c:pt idx="0">
                  <c:v>Y Experimental Normalizada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'1_Empotrado_Empotrado'!$B$3:$B$23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'1_Empotrado_Empotrado'!$F$3:$F$23</c:f>
              <c:numCache>
                <c:formatCode>General</c:formatCode>
                <c:ptCount val="21"/>
                <c:pt idx="0">
                  <c:v>0</c:v>
                </c:pt>
                <c:pt idx="1">
                  <c:v>1.8518517584850853E-2</c:v>
                </c:pt>
                <c:pt idx="2">
                  <c:v>3.7037035169701707E-2</c:v>
                </c:pt>
                <c:pt idx="3">
                  <c:v>0.1477489305280392</c:v>
                </c:pt>
                <c:pt idx="4">
                  <c:v>0.34507521071175246</c:v>
                </c:pt>
                <c:pt idx="5">
                  <c:v>0.37037036850303501</c:v>
                </c:pt>
                <c:pt idx="6">
                  <c:v>0.4467410820336189</c:v>
                </c:pt>
                <c:pt idx="7">
                  <c:v>0.61111111391211415</c:v>
                </c:pt>
                <c:pt idx="8">
                  <c:v>0.6387745757551847</c:v>
                </c:pt>
                <c:pt idx="9">
                  <c:v>0.77728088544858498</c:v>
                </c:pt>
                <c:pt idx="10">
                  <c:v>0.8333333249303243</c:v>
                </c:pt>
                <c:pt idx="11">
                  <c:v>1</c:v>
                </c:pt>
                <c:pt idx="12">
                  <c:v>0.9814814824151491</c:v>
                </c:pt>
                <c:pt idx="13">
                  <c:v>0.87111353902050659</c:v>
                </c:pt>
                <c:pt idx="14">
                  <c:v>0.8518518425151751</c:v>
                </c:pt>
                <c:pt idx="15">
                  <c:v>0.63605492509179651</c:v>
                </c:pt>
                <c:pt idx="16">
                  <c:v>0.44444443884243845</c:v>
                </c:pt>
                <c:pt idx="17">
                  <c:v>0.29049553300243958</c:v>
                </c:pt>
                <c:pt idx="18">
                  <c:v>0.14747460589677794</c:v>
                </c:pt>
                <c:pt idx="19">
                  <c:v>0.15161011315575926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C2-4658-85F8-9916B7CFC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X Normalizada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Y Normalizada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US"/>
              <a:t>Curva de Flexión: Abisagrado - Abisagrado (x = 2L/3)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'2_Abisagrado_Abisagrado'!$E$2</c:f>
              <c:strCache>
                <c:ptCount val="1"/>
                <c:pt idx="0">
                  <c:v>Y Teórica Normalizada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'2_Abisagrado_Abisagrado'!$B$3:$B$23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'2_Abisagrado_Abisagrado'!$E$3:$E$23</c:f>
              <c:numCache>
                <c:formatCode>General</c:formatCode>
                <c:ptCount val="21"/>
                <c:pt idx="0">
                  <c:v>0</c:v>
                </c:pt>
                <c:pt idx="1">
                  <c:v>0.13741871581757892</c:v>
                </c:pt>
                <c:pt idx="2">
                  <c:v>0.27251195038973342</c:v>
                </c:pt>
                <c:pt idx="3">
                  <c:v>0.40295422247103913</c:v>
                </c:pt>
                <c:pt idx="4">
                  <c:v>0.52642005081607168</c:v>
                </c:pt>
                <c:pt idx="5">
                  <c:v>0.64058395417940661</c:v>
                </c:pt>
                <c:pt idx="6">
                  <c:v>0.74312045131561943</c:v>
                </c:pt>
                <c:pt idx="7">
                  <c:v>0.83170406097928595</c:v>
                </c:pt>
                <c:pt idx="8">
                  <c:v>0.90400930192498175</c:v>
                </c:pt>
                <c:pt idx="9">
                  <c:v>0.95771069290728228</c:v>
                </c:pt>
                <c:pt idx="10">
                  <c:v>0.99048275268076313</c:v>
                </c:pt>
                <c:pt idx="11">
                  <c:v>1</c:v>
                </c:pt>
                <c:pt idx="12">
                  <c:v>0.98393695361956846</c:v>
                </c:pt>
                <c:pt idx="13">
                  <c:v>0.93996813229404408</c:v>
                </c:pt>
                <c:pt idx="14">
                  <c:v>0.86611257051806567</c:v>
                </c:pt>
                <c:pt idx="15">
                  <c:v>0.764394298264502</c:v>
                </c:pt>
                <c:pt idx="16">
                  <c:v>0.63942121355669401</c:v>
                </c:pt>
                <c:pt idx="17">
                  <c:v>0.49584427888549187</c:v>
                </c:pt>
                <c:pt idx="18">
                  <c:v>0.33831445674174221</c:v>
                </c:pt>
                <c:pt idx="19">
                  <c:v>0.17148270961629569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73-4940-9199-BE2DFDAE9B5E}"/>
            </c:ext>
          </c:extLst>
        </c:ser>
        <c:ser>
          <c:idx val="1"/>
          <c:order val="1"/>
          <c:tx>
            <c:strRef>
              <c:f>'2_Abisagrado_Abisagrado'!$F$2</c:f>
              <c:strCache>
                <c:ptCount val="1"/>
                <c:pt idx="0">
                  <c:v>Y Experimental Normalizada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'2_Abisagrado_Abisagrado'!$B$3:$B$23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'2_Abisagrado_Abisagrado'!$F$3:$F$23</c:f>
              <c:numCache>
                <c:formatCode>General</c:formatCode>
                <c:ptCount val="21"/>
                <c:pt idx="0">
                  <c:v>0</c:v>
                </c:pt>
                <c:pt idx="1">
                  <c:v>7.6063914474651842E-2</c:v>
                </c:pt>
                <c:pt idx="2">
                  <c:v>0.24655243089877824</c:v>
                </c:pt>
                <c:pt idx="3">
                  <c:v>0.35543727247180068</c:v>
                </c:pt>
                <c:pt idx="4">
                  <c:v>0.45517687295467596</c:v>
                </c:pt>
                <c:pt idx="5">
                  <c:v>0.60177280137462963</c:v>
                </c:pt>
                <c:pt idx="6">
                  <c:v>0.74432036309942962</c:v>
                </c:pt>
                <c:pt idx="7">
                  <c:v>0.85195837323944368</c:v>
                </c:pt>
                <c:pt idx="8">
                  <c:v>0.92852910057268856</c:v>
                </c:pt>
                <c:pt idx="9">
                  <c:v>0.94444217901731098</c:v>
                </c:pt>
                <c:pt idx="10">
                  <c:v>1</c:v>
                </c:pt>
                <c:pt idx="11">
                  <c:v>0.99848677263052921</c:v>
                </c:pt>
                <c:pt idx="12">
                  <c:v>0.97940740598073628</c:v>
                </c:pt>
                <c:pt idx="13">
                  <c:v>0.9603280421599768</c:v>
                </c:pt>
                <c:pt idx="14">
                  <c:v>0.90620160177951181</c:v>
                </c:pt>
                <c:pt idx="15">
                  <c:v>0.67225950834895021</c:v>
                </c:pt>
                <c:pt idx="16">
                  <c:v>0.58981266349727024</c:v>
                </c:pt>
                <c:pt idx="17">
                  <c:v>0.50733959067631362</c:v>
                </c:pt>
                <c:pt idx="18">
                  <c:v>0.2302682002374272</c:v>
                </c:pt>
                <c:pt idx="19">
                  <c:v>2.0343186428773391E-2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73-4940-9199-BE2DFDAE9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X Normalizada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Y Normalizada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US"/>
              <a:t>Curva de Flexión: Empotrado - Abisagrado (x = 2L/3)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'3_Empotrado_Abisagrado'!$E$2</c:f>
              <c:strCache>
                <c:ptCount val="1"/>
                <c:pt idx="0">
                  <c:v>Y Teórica Normalizada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'3_Empotrado_Abisagrado'!$B$3:$B$23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'3_Empotrado_Abisagrado'!$E$3:$E$23</c:f>
              <c:numCache>
                <c:formatCode>General</c:formatCode>
                <c:ptCount val="21"/>
                <c:pt idx="0">
                  <c:v>0</c:v>
                </c:pt>
                <c:pt idx="1">
                  <c:v>1.876653439153439E-2</c:v>
                </c:pt>
                <c:pt idx="2">
                  <c:v>7.0767195767195756E-2</c:v>
                </c:pt>
                <c:pt idx="3">
                  <c:v>0.1495535714285714</c:v>
                </c:pt>
                <c:pt idx="4">
                  <c:v>0.24867724867724864</c:v>
                </c:pt>
                <c:pt idx="5">
                  <c:v>0.36168981481481471</c:v>
                </c:pt>
                <c:pt idx="6">
                  <c:v>0.48214285714285704</c:v>
                </c:pt>
                <c:pt idx="7">
                  <c:v>0.60358796296296269</c:v>
                </c:pt>
                <c:pt idx="8">
                  <c:v>0.71957671957671943</c:v>
                </c:pt>
                <c:pt idx="9">
                  <c:v>0.82366071428571408</c:v>
                </c:pt>
                <c:pt idx="10">
                  <c:v>0.90939153439153408</c:v>
                </c:pt>
                <c:pt idx="11">
                  <c:v>0.9703207671957671</c:v>
                </c:pt>
                <c:pt idx="12">
                  <c:v>1</c:v>
                </c:pt>
                <c:pt idx="13">
                  <c:v>0.99198082010581945</c:v>
                </c:pt>
                <c:pt idx="14">
                  <c:v>0.94047619047619024</c:v>
                </c:pt>
                <c:pt idx="15">
                  <c:v>0.84738756613756583</c:v>
                </c:pt>
                <c:pt idx="16">
                  <c:v>0.71957671957671943</c:v>
                </c:pt>
                <c:pt idx="17">
                  <c:v>0.56398809523809446</c:v>
                </c:pt>
                <c:pt idx="18">
                  <c:v>0.38756613756613778</c:v>
                </c:pt>
                <c:pt idx="19">
                  <c:v>0.19725529100529199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B3-400E-8E7D-BBABCD9B2762}"/>
            </c:ext>
          </c:extLst>
        </c:ser>
        <c:ser>
          <c:idx val="1"/>
          <c:order val="1"/>
          <c:tx>
            <c:strRef>
              <c:f>'3_Empotrado_Abisagrado'!$F$2</c:f>
              <c:strCache>
                <c:ptCount val="1"/>
                <c:pt idx="0">
                  <c:v>Y Experimental Normalizada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'3_Empotrado_Abisagrado'!$B$3:$B$23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'3_Empotrado_Abisagrado'!$F$3:$F$23</c:f>
              <c:numCache>
                <c:formatCode>General</c:formatCode>
                <c:ptCount val="21"/>
                <c:pt idx="0">
                  <c:v>0</c:v>
                </c:pt>
                <c:pt idx="1">
                  <c:v>0.16228070046262311</c:v>
                </c:pt>
                <c:pt idx="2">
                  <c:v>0.20680592900029857</c:v>
                </c:pt>
                <c:pt idx="3">
                  <c:v>0.32585385867947814</c:v>
                </c:pt>
                <c:pt idx="4">
                  <c:v>0.47368420675576473</c:v>
                </c:pt>
                <c:pt idx="5">
                  <c:v>0.50335167947588977</c:v>
                </c:pt>
                <c:pt idx="6">
                  <c:v>0.62239711765873329</c:v>
                </c:pt>
                <c:pt idx="7">
                  <c:v>0.68408215706779762</c:v>
                </c:pt>
                <c:pt idx="8">
                  <c:v>0.74925408937930271</c:v>
                </c:pt>
                <c:pt idx="9">
                  <c:v>0.89035087806579516</c:v>
                </c:pt>
                <c:pt idx="10">
                  <c:v>0.92105263220737255</c:v>
                </c:pt>
                <c:pt idx="11">
                  <c:v>0.90789473757526795</c:v>
                </c:pt>
                <c:pt idx="12">
                  <c:v>0.93859649171684523</c:v>
                </c:pt>
                <c:pt idx="13">
                  <c:v>0.92543859708474074</c:v>
                </c:pt>
                <c:pt idx="14">
                  <c:v>1</c:v>
                </c:pt>
                <c:pt idx="15">
                  <c:v>0.93091301949877658</c:v>
                </c:pt>
                <c:pt idx="16">
                  <c:v>0.84559718011011886</c:v>
                </c:pt>
                <c:pt idx="17">
                  <c:v>0.8289473697826405</c:v>
                </c:pt>
                <c:pt idx="18">
                  <c:v>0.69047226408568441</c:v>
                </c:pt>
                <c:pt idx="19">
                  <c:v>0.62909031162386442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B3-400E-8E7D-BBABCD9B2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X Normalizada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Y Normalizada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US"/>
              <a:t>Curva de Flexión: Empotrado - Libre (x = 2L/3)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'4_Empotrado_Libre'!$E$2</c:f>
              <c:strCache>
                <c:ptCount val="1"/>
                <c:pt idx="0">
                  <c:v>Y Teórica Normalizada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'4_Empotrado_Libre'!$B$3:$B$23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'4_Empotrado_Libre'!$E$3:$E$23</c:f>
              <c:numCache>
                <c:formatCode>General</c:formatCode>
                <c:ptCount val="21"/>
                <c:pt idx="0">
                  <c:v>0</c:v>
                </c:pt>
                <c:pt idx="1">
                  <c:v>4.7008928571428583E-3</c:v>
                </c:pt>
                <c:pt idx="2">
                  <c:v>1.8321428571428575E-2</c:v>
                </c:pt>
                <c:pt idx="3">
                  <c:v>4.0138392857142852E-2</c:v>
                </c:pt>
                <c:pt idx="4">
                  <c:v>6.9428571428571437E-2</c:v>
                </c:pt>
                <c:pt idx="5">
                  <c:v>0.10546875</c:v>
                </c:pt>
                <c:pt idx="6">
                  <c:v>0.1475357142857143</c:v>
                </c:pt>
                <c:pt idx="7">
                  <c:v>0.19490624999999998</c:v>
                </c:pt>
                <c:pt idx="8">
                  <c:v>0.24685714285714294</c:v>
                </c:pt>
                <c:pt idx="9">
                  <c:v>0.30266517857142861</c:v>
                </c:pt>
                <c:pt idx="10">
                  <c:v>0.3616071428571429</c:v>
                </c:pt>
                <c:pt idx="11">
                  <c:v>0.42295982142857147</c:v>
                </c:pt>
                <c:pt idx="12">
                  <c:v>0.48600000000000004</c:v>
                </c:pt>
                <c:pt idx="13">
                  <c:v>0.55000446428571437</c:v>
                </c:pt>
                <c:pt idx="14">
                  <c:v>0.61428571428571432</c:v>
                </c:pt>
                <c:pt idx="15">
                  <c:v>0.6785714285714286</c:v>
                </c:pt>
                <c:pt idx="16">
                  <c:v>0.74285714285714299</c:v>
                </c:pt>
                <c:pt idx="17">
                  <c:v>0.80714285714285705</c:v>
                </c:pt>
                <c:pt idx="18">
                  <c:v>0.87142857142857144</c:v>
                </c:pt>
                <c:pt idx="19">
                  <c:v>0.93571428571428583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61-4239-9289-27353EB4C42C}"/>
            </c:ext>
          </c:extLst>
        </c:ser>
        <c:ser>
          <c:idx val="1"/>
          <c:order val="1"/>
          <c:tx>
            <c:strRef>
              <c:f>'4_Empotrado_Libre'!$F$2</c:f>
              <c:strCache>
                <c:ptCount val="1"/>
                <c:pt idx="0">
                  <c:v>Y Experimental Normalizada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'4_Empotrado_Libre'!$B$3:$B$23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'4_Empotrado_Libre'!$F$3:$F$23</c:f>
              <c:numCache>
                <c:formatCode>General</c:formatCode>
                <c:ptCount val="21"/>
                <c:pt idx="0">
                  <c:v>0</c:v>
                </c:pt>
                <c:pt idx="1">
                  <c:v>3.8021706865608352E-3</c:v>
                </c:pt>
                <c:pt idx="2">
                  <c:v>1.6911875931464957E-2</c:v>
                </c:pt>
                <c:pt idx="3">
                  <c:v>5.5401909843416766E-2</c:v>
                </c:pt>
                <c:pt idx="4">
                  <c:v>9.7267240076067449E-2</c:v>
                </c:pt>
                <c:pt idx="5">
                  <c:v>0.14290861327130921</c:v>
                </c:pt>
                <c:pt idx="6">
                  <c:v>0.17720705258770586</c:v>
                </c:pt>
                <c:pt idx="7">
                  <c:v>0.21810026104357888</c:v>
                </c:pt>
                <c:pt idx="8">
                  <c:v>0.26745305261709573</c:v>
                </c:pt>
                <c:pt idx="9">
                  <c:v>0.34003952466589077</c:v>
                </c:pt>
                <c:pt idx="10">
                  <c:v>0.39065663270299161</c:v>
                </c:pt>
                <c:pt idx="11">
                  <c:v>0.44474892436356817</c:v>
                </c:pt>
                <c:pt idx="12">
                  <c:v>0.52182536702661342</c:v>
                </c:pt>
                <c:pt idx="13">
                  <c:v>0.57095965013601102</c:v>
                </c:pt>
                <c:pt idx="14">
                  <c:v>0.63712869146578321</c:v>
                </c:pt>
                <c:pt idx="15">
                  <c:v>0.70487855286964252</c:v>
                </c:pt>
                <c:pt idx="16">
                  <c:v>0.77110515502086729</c:v>
                </c:pt>
                <c:pt idx="17">
                  <c:v>0.81787666770581358</c:v>
                </c:pt>
                <c:pt idx="18">
                  <c:v>0.89842028091497506</c:v>
                </c:pt>
                <c:pt idx="19">
                  <c:v>0.96609260921490558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61-4239-9289-27353EB4C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X Normalizada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Y Normalizada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518160</xdr:colOff>
      <xdr:row>2</xdr:row>
      <xdr:rowOff>175260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457200</xdr:colOff>
      <xdr:row>1</xdr:row>
      <xdr:rowOff>152400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464820</xdr:colOff>
      <xdr:row>1</xdr:row>
      <xdr:rowOff>22860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6"/>
  <sheetViews>
    <sheetView tabSelected="1" workbookViewId="0">
      <selection activeCell="H19" sqref="H19"/>
    </sheetView>
  </sheetViews>
  <sheetFormatPr baseColWidth="10" defaultColWidth="8.88671875" defaultRowHeight="14.4" x14ac:dyDescent="0.3"/>
  <cols>
    <col min="2" max="2" width="19.6640625" customWidth="1"/>
    <col min="3" max="3" width="14.5546875" customWidth="1"/>
    <col min="4" max="4" width="15.6640625" customWidth="1"/>
    <col min="5" max="5" width="20.77734375" customWidth="1"/>
    <col min="6" max="6" width="25.21875" customWidth="1"/>
  </cols>
  <sheetData>
    <row r="2" spans="2:6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3">
      <c r="B3" s="1">
        <v>0</v>
      </c>
      <c r="C3" s="1">
        <f t="shared" ref="C3:C23" si="0">6*B3^2 - 7*B3^3 + IF(B3&gt;=2/3, 27*(B3-2/3)^3, 0)</f>
        <v>0</v>
      </c>
      <c r="D3" s="1">
        <v>0</v>
      </c>
      <c r="E3" s="1">
        <f t="shared" ref="E3:E23" si="1">C3/MAX($C$3:$C$23)</f>
        <v>0</v>
      </c>
      <c r="F3" s="1">
        <f t="shared" ref="F3:F23" si="2">D3/MAX($D$3:$D$23)</f>
        <v>0</v>
      </c>
    </row>
    <row r="4" spans="2:6" x14ac:dyDescent="0.3">
      <c r="B4" s="1">
        <v>0.05</v>
      </c>
      <c r="C4" s="1">
        <f t="shared" si="0"/>
        <v>1.4125000000000002E-2</v>
      </c>
      <c r="D4" s="1">
        <v>1.101898</v>
      </c>
      <c r="E4" s="1">
        <f t="shared" si="1"/>
        <v>2.1718239477224684E-2</v>
      </c>
      <c r="F4" s="1">
        <f t="shared" si="2"/>
        <v>1.8518517584850853E-2</v>
      </c>
    </row>
    <row r="5" spans="2:6" x14ac:dyDescent="0.3">
      <c r="B5" s="1">
        <v>0.1</v>
      </c>
      <c r="C5" s="1">
        <f t="shared" si="0"/>
        <v>5.3000000000000012E-2</v>
      </c>
      <c r="D5" s="1">
        <v>2.2037960000000001</v>
      </c>
      <c r="E5" s="1">
        <f t="shared" si="1"/>
        <v>8.1491447241975809E-2</v>
      </c>
      <c r="F5" s="1">
        <f t="shared" si="2"/>
        <v>3.7037035169701707E-2</v>
      </c>
    </row>
    <row r="6" spans="2:6" x14ac:dyDescent="0.3">
      <c r="B6" s="1">
        <v>0.15</v>
      </c>
      <c r="C6" s="1">
        <f t="shared" si="0"/>
        <v>0.111375</v>
      </c>
      <c r="D6" s="1">
        <v>8.7914300000000001</v>
      </c>
      <c r="E6" s="1">
        <f t="shared" si="1"/>
        <v>0.17124735729386895</v>
      </c>
      <c r="F6" s="1">
        <f t="shared" si="2"/>
        <v>0.1477489305280392</v>
      </c>
    </row>
    <row r="7" spans="2:6" x14ac:dyDescent="0.3">
      <c r="B7" s="1">
        <v>0.2</v>
      </c>
      <c r="C7" s="1">
        <f t="shared" si="0"/>
        <v>0.18400000000000002</v>
      </c>
      <c r="D7" s="1">
        <v>20.532836</v>
      </c>
      <c r="E7" s="1">
        <f t="shared" si="1"/>
        <v>0.28291370363251978</v>
      </c>
      <c r="F7" s="1">
        <f t="shared" si="2"/>
        <v>0.34507521071175246</v>
      </c>
    </row>
    <row r="8" spans="2:6" x14ac:dyDescent="0.3">
      <c r="B8" s="1">
        <v>0.25</v>
      </c>
      <c r="C8" s="1">
        <f t="shared" si="0"/>
        <v>0.265625</v>
      </c>
      <c r="D8" s="1">
        <v>22.037960999999999</v>
      </c>
      <c r="E8" s="1">
        <f t="shared" si="1"/>
        <v>0.40841822025754376</v>
      </c>
      <c r="F8" s="1">
        <f t="shared" si="2"/>
        <v>0.37037036850303501</v>
      </c>
    </row>
    <row r="9" spans="2:6" x14ac:dyDescent="0.3">
      <c r="B9" s="1">
        <v>0.3</v>
      </c>
      <c r="C9" s="1">
        <f t="shared" si="0"/>
        <v>0.35100000000000003</v>
      </c>
      <c r="D9" s="1">
        <v>26.582208999999999</v>
      </c>
      <c r="E9" s="1">
        <f t="shared" si="1"/>
        <v>0.53968864116855675</v>
      </c>
      <c r="F9" s="1">
        <f t="shared" si="2"/>
        <v>0.4467410820336189</v>
      </c>
    </row>
    <row r="10" spans="2:6" x14ac:dyDescent="0.3">
      <c r="B10" s="1">
        <v>0.35</v>
      </c>
      <c r="C10" s="1">
        <f t="shared" si="0"/>
        <v>0.43487499999999996</v>
      </c>
      <c r="D10" s="1">
        <v>36.362636000000002</v>
      </c>
      <c r="E10" s="1">
        <f t="shared" si="1"/>
        <v>0.66865270036517399</v>
      </c>
      <c r="F10" s="1">
        <f t="shared" si="2"/>
        <v>0.61111111391211415</v>
      </c>
    </row>
    <row r="11" spans="2:6" x14ac:dyDescent="0.3">
      <c r="B11" s="1">
        <v>0.4</v>
      </c>
      <c r="C11" s="1">
        <f t="shared" si="0"/>
        <v>0.51200000000000001</v>
      </c>
      <c r="D11" s="1">
        <v>38.008681000000003</v>
      </c>
      <c r="E11" s="1">
        <f t="shared" si="1"/>
        <v>0.78723813184701141</v>
      </c>
      <c r="F11" s="1">
        <f t="shared" si="2"/>
        <v>0.6387745757551847</v>
      </c>
    </row>
    <row r="12" spans="2:6" x14ac:dyDescent="0.3">
      <c r="B12" s="1">
        <v>0.45</v>
      </c>
      <c r="C12" s="1">
        <f t="shared" si="0"/>
        <v>0.577125</v>
      </c>
      <c r="D12" s="1">
        <v>46.250152</v>
      </c>
      <c r="E12" s="1">
        <f t="shared" si="1"/>
        <v>0.88737266961368455</v>
      </c>
      <c r="F12" s="1">
        <f t="shared" si="2"/>
        <v>0.77728088544858498</v>
      </c>
    </row>
    <row r="13" spans="2:6" x14ac:dyDescent="0.3">
      <c r="B13" s="1">
        <v>0.5</v>
      </c>
      <c r="C13" s="1">
        <f t="shared" si="0"/>
        <v>0.625</v>
      </c>
      <c r="D13" s="1">
        <v>49.585411999999998</v>
      </c>
      <c r="E13" s="1">
        <f t="shared" si="1"/>
        <v>0.96098404766480883</v>
      </c>
      <c r="F13" s="1">
        <f t="shared" si="2"/>
        <v>0.8333333249303243</v>
      </c>
    </row>
    <row r="14" spans="2:6" x14ac:dyDescent="0.3">
      <c r="B14" s="1">
        <v>0.55000000000000004</v>
      </c>
      <c r="C14" s="1">
        <f t="shared" si="0"/>
        <v>0.65037499999999993</v>
      </c>
      <c r="D14" s="1">
        <v>59.502495000000003</v>
      </c>
      <c r="E14" s="1">
        <f t="shared" si="1"/>
        <v>1</v>
      </c>
      <c r="F14" s="1">
        <f t="shared" si="2"/>
        <v>1</v>
      </c>
    </row>
    <row r="15" spans="2:6" x14ac:dyDescent="0.3">
      <c r="B15" s="1">
        <v>0.6</v>
      </c>
      <c r="C15" s="1">
        <f t="shared" si="0"/>
        <v>0.64800000000000013</v>
      </c>
      <c r="D15" s="1">
        <v>58.400596999999998</v>
      </c>
      <c r="E15" s="1">
        <f t="shared" si="1"/>
        <v>0.99634826061887405</v>
      </c>
      <c r="F15" s="1">
        <f t="shared" si="2"/>
        <v>0.9814814824151491</v>
      </c>
    </row>
    <row r="16" spans="2:6" x14ac:dyDescent="0.3">
      <c r="B16" s="1">
        <v>0.65</v>
      </c>
      <c r="C16" s="1">
        <f t="shared" si="0"/>
        <v>0.61262499999999975</v>
      </c>
      <c r="D16" s="1">
        <v>51.833429000000002</v>
      </c>
      <c r="E16" s="1">
        <f t="shared" si="1"/>
        <v>0.94195656352104529</v>
      </c>
      <c r="F16" s="1">
        <f t="shared" si="2"/>
        <v>0.87111353902050659</v>
      </c>
    </row>
    <row r="17" spans="2:6" x14ac:dyDescent="0.3">
      <c r="B17" s="1">
        <v>0.7</v>
      </c>
      <c r="C17" s="1">
        <f t="shared" si="0"/>
        <v>0.54000000000000015</v>
      </c>
      <c r="D17" s="1">
        <v>50.687309999999997</v>
      </c>
      <c r="E17" s="1">
        <f t="shared" si="1"/>
        <v>0.83029021718239504</v>
      </c>
      <c r="F17" s="1">
        <f t="shared" si="2"/>
        <v>0.8518518425151751</v>
      </c>
    </row>
    <row r="18" spans="2:6" x14ac:dyDescent="0.3">
      <c r="B18" s="1">
        <v>0.75</v>
      </c>
      <c r="C18" s="1">
        <f t="shared" si="0"/>
        <v>0.4375</v>
      </c>
      <c r="D18" s="1">
        <v>37.846854999999998</v>
      </c>
      <c r="E18" s="1">
        <f t="shared" si="1"/>
        <v>0.67268883336536622</v>
      </c>
      <c r="F18" s="1">
        <f t="shared" si="2"/>
        <v>0.63605492509179651</v>
      </c>
    </row>
    <row r="19" spans="2:6" x14ac:dyDescent="0.3">
      <c r="B19" s="1">
        <v>0.8</v>
      </c>
      <c r="C19" s="1">
        <f t="shared" si="0"/>
        <v>0.3199999999999999</v>
      </c>
      <c r="D19" s="1">
        <v>26.445553</v>
      </c>
      <c r="E19" s="1">
        <f t="shared" si="1"/>
        <v>0.49202383240438197</v>
      </c>
      <c r="F19" s="1">
        <f t="shared" si="2"/>
        <v>0.44444443884243845</v>
      </c>
    </row>
    <row r="20" spans="2:6" x14ac:dyDescent="0.3">
      <c r="B20" s="1">
        <v>0.85</v>
      </c>
      <c r="C20" s="1">
        <f t="shared" si="0"/>
        <v>0.20249999999999935</v>
      </c>
      <c r="D20" s="1">
        <v>17.285208999999998</v>
      </c>
      <c r="E20" s="1">
        <f t="shared" si="1"/>
        <v>0.31135883144339704</v>
      </c>
      <c r="F20" s="1">
        <f t="shared" si="2"/>
        <v>0.29049553300243958</v>
      </c>
    </row>
    <row r="21" spans="2:6" x14ac:dyDescent="0.3">
      <c r="B21" s="1">
        <v>0.9</v>
      </c>
      <c r="C21" s="1">
        <f t="shared" si="0"/>
        <v>9.9999999999999867E-2</v>
      </c>
      <c r="D21" s="1">
        <v>8.7751070000000002</v>
      </c>
      <c r="E21" s="1">
        <f t="shared" si="1"/>
        <v>0.15375744762636923</v>
      </c>
      <c r="F21" s="1">
        <f t="shared" si="2"/>
        <v>0.14747460589677794</v>
      </c>
    </row>
    <row r="22" spans="2:6" x14ac:dyDescent="0.3">
      <c r="B22" s="1">
        <v>0.95</v>
      </c>
      <c r="C22" s="1">
        <f t="shared" si="0"/>
        <v>2.7500000000001079E-2</v>
      </c>
      <c r="D22" s="1">
        <v>9.0211799999999993</v>
      </c>
      <c r="E22" s="1">
        <f t="shared" si="1"/>
        <v>4.2283298097253251E-2</v>
      </c>
      <c r="F22" s="1">
        <f t="shared" si="2"/>
        <v>0.15161011315575926</v>
      </c>
    </row>
    <row r="23" spans="2:6" x14ac:dyDescent="0.3">
      <c r="B23" s="1">
        <v>1</v>
      </c>
      <c r="C23" s="1">
        <f t="shared" si="0"/>
        <v>0</v>
      </c>
      <c r="D23" s="1">
        <v>0</v>
      </c>
      <c r="E23" s="1">
        <f t="shared" si="1"/>
        <v>0</v>
      </c>
      <c r="F23" s="1">
        <f t="shared" si="2"/>
        <v>0</v>
      </c>
    </row>
    <row r="25" spans="2:6" x14ac:dyDescent="0.3">
      <c r="B25" t="s">
        <v>5</v>
      </c>
      <c r="C25">
        <f>SQRT(SUMXMY2(F3:F23, E3:E23)/COUNT(E3:E23))</f>
        <v>6.6186793397017246E-2</v>
      </c>
    </row>
    <row r="26" spans="2:6" x14ac:dyDescent="0.3">
      <c r="B26" t="s">
        <v>6</v>
      </c>
      <c r="C26">
        <v>6.6186999999999996E-2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6"/>
  <sheetViews>
    <sheetView workbookViewId="0">
      <selection activeCell="B2" sqref="B2:F2"/>
    </sheetView>
  </sheetViews>
  <sheetFormatPr baseColWidth="10" defaultColWidth="8.88671875" defaultRowHeight="14.4" x14ac:dyDescent="0.3"/>
  <cols>
    <col min="2" max="2" width="18.44140625" customWidth="1"/>
    <col min="3" max="3" width="15.21875" customWidth="1"/>
    <col min="4" max="4" width="16.21875" customWidth="1"/>
    <col min="5" max="5" width="21.6640625" customWidth="1"/>
    <col min="6" max="6" width="23.88671875" customWidth="1"/>
  </cols>
  <sheetData>
    <row r="2" spans="2:6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3">
      <c r="B3" s="1">
        <v>0</v>
      </c>
      <c r="C3" s="1">
        <f t="shared" ref="C3:C23" si="0">8*B3 - 9*B3^3 + IF(B3&gt;=2/3, 27*(B3-2/3)^3, 0)</f>
        <v>0</v>
      </c>
      <c r="D3" s="1">
        <v>0</v>
      </c>
      <c r="E3" s="1">
        <f t="shared" ref="E3:E23" si="1">C3/MAX($C$3:$C$23)</f>
        <v>0</v>
      </c>
      <c r="F3" s="1">
        <f t="shared" ref="F3:F23" si="2">D3/MAX($D$3:$D$23)</f>
        <v>0</v>
      </c>
    </row>
    <row r="4" spans="2:6" x14ac:dyDescent="0.3">
      <c r="B4" s="1">
        <v>0.05</v>
      </c>
      <c r="C4" s="1">
        <f t="shared" si="0"/>
        <v>0.39887500000000004</v>
      </c>
      <c r="D4" s="1">
        <v>26.886890999999999</v>
      </c>
      <c r="E4" s="1">
        <f t="shared" si="1"/>
        <v>0.13741871581757892</v>
      </c>
      <c r="F4" s="1">
        <f t="shared" si="2"/>
        <v>7.6063914474651842E-2</v>
      </c>
    </row>
    <row r="5" spans="2:6" x14ac:dyDescent="0.3">
      <c r="B5" s="1">
        <v>0.1</v>
      </c>
      <c r="C5" s="1">
        <f t="shared" si="0"/>
        <v>0.79100000000000004</v>
      </c>
      <c r="D5" s="1">
        <v>87.150765000000007</v>
      </c>
      <c r="E5" s="1">
        <f t="shared" si="1"/>
        <v>0.27251195038973342</v>
      </c>
      <c r="F5" s="1">
        <f t="shared" si="2"/>
        <v>0.24655243089877824</v>
      </c>
    </row>
    <row r="6" spans="2:6" x14ac:dyDescent="0.3">
      <c r="B6" s="1">
        <v>0.15</v>
      </c>
      <c r="C6" s="1">
        <f t="shared" si="0"/>
        <v>1.1696249999999999</v>
      </c>
      <c r="D6" s="1">
        <v>125.63911899999999</v>
      </c>
      <c r="E6" s="1">
        <f t="shared" si="1"/>
        <v>0.40295422247103913</v>
      </c>
      <c r="F6" s="1">
        <f t="shared" si="2"/>
        <v>0.35543727247180068</v>
      </c>
    </row>
    <row r="7" spans="2:6" x14ac:dyDescent="0.3">
      <c r="B7" s="1">
        <v>0.2</v>
      </c>
      <c r="C7" s="1">
        <f t="shared" si="0"/>
        <v>1.528</v>
      </c>
      <c r="D7" s="1">
        <v>160.894835</v>
      </c>
      <c r="E7" s="1">
        <f t="shared" si="1"/>
        <v>0.52642005081607168</v>
      </c>
      <c r="F7" s="1">
        <f t="shared" si="2"/>
        <v>0.45517687295467596</v>
      </c>
    </row>
    <row r="8" spans="2:6" x14ac:dyDescent="0.3">
      <c r="B8" s="1">
        <v>0.25</v>
      </c>
      <c r="C8" s="1">
        <f t="shared" si="0"/>
        <v>1.859375</v>
      </c>
      <c r="D8" s="1">
        <v>212.71321399999999</v>
      </c>
      <c r="E8" s="1">
        <f t="shared" si="1"/>
        <v>0.64058395417940661</v>
      </c>
      <c r="F8" s="1">
        <f t="shared" si="2"/>
        <v>0.60177280137462963</v>
      </c>
    </row>
    <row r="9" spans="2:6" x14ac:dyDescent="0.3">
      <c r="B9" s="1">
        <v>0.3</v>
      </c>
      <c r="C9" s="1">
        <f t="shared" si="0"/>
        <v>2.157</v>
      </c>
      <c r="D9" s="1">
        <v>263.10058600000002</v>
      </c>
      <c r="E9" s="1">
        <f t="shared" si="1"/>
        <v>0.74312045131561943</v>
      </c>
      <c r="F9" s="1">
        <f t="shared" si="2"/>
        <v>0.74432036309942962</v>
      </c>
    </row>
    <row r="10" spans="2:6" x14ac:dyDescent="0.3">
      <c r="B10" s="1">
        <v>0.35</v>
      </c>
      <c r="C10" s="1">
        <f t="shared" si="0"/>
        <v>2.4141249999999999</v>
      </c>
      <c r="D10" s="1">
        <v>301.148213</v>
      </c>
      <c r="E10" s="1">
        <f t="shared" si="1"/>
        <v>0.83170406097928595</v>
      </c>
      <c r="F10" s="1">
        <f t="shared" si="2"/>
        <v>0.85195837323944368</v>
      </c>
    </row>
    <row r="11" spans="2:6" x14ac:dyDescent="0.3">
      <c r="B11" s="1">
        <v>0.4</v>
      </c>
      <c r="C11" s="1">
        <f t="shared" si="0"/>
        <v>2.6240000000000001</v>
      </c>
      <c r="D11" s="1">
        <v>328.21425099999999</v>
      </c>
      <c r="E11" s="1">
        <f t="shared" si="1"/>
        <v>0.90400930192498175</v>
      </c>
      <c r="F11" s="1">
        <f t="shared" si="2"/>
        <v>0.92852910057268856</v>
      </c>
    </row>
    <row r="12" spans="2:6" x14ac:dyDescent="0.3">
      <c r="B12" s="1">
        <v>0.45</v>
      </c>
      <c r="C12" s="1">
        <f t="shared" si="0"/>
        <v>2.7798750000000001</v>
      </c>
      <c r="D12" s="1">
        <v>333.83916799999997</v>
      </c>
      <c r="E12" s="1">
        <f t="shared" si="1"/>
        <v>0.95771069290728228</v>
      </c>
      <c r="F12" s="1">
        <f t="shared" si="2"/>
        <v>0.94444217901731098</v>
      </c>
    </row>
    <row r="13" spans="2:6" x14ac:dyDescent="0.3">
      <c r="B13" s="1">
        <v>0.5</v>
      </c>
      <c r="C13" s="1">
        <f t="shared" si="0"/>
        <v>2.875</v>
      </c>
      <c r="D13" s="1">
        <v>353.47761400000002</v>
      </c>
      <c r="E13" s="1">
        <f t="shared" si="1"/>
        <v>0.99048275268076313</v>
      </c>
      <c r="F13" s="1">
        <f t="shared" si="2"/>
        <v>1</v>
      </c>
    </row>
    <row r="14" spans="2:6" x14ac:dyDescent="0.3">
      <c r="B14" s="1">
        <v>0.55000000000000004</v>
      </c>
      <c r="C14" s="1">
        <f t="shared" si="0"/>
        <v>2.902625</v>
      </c>
      <c r="D14" s="1">
        <v>352.942722</v>
      </c>
      <c r="E14" s="1">
        <f t="shared" si="1"/>
        <v>1</v>
      </c>
      <c r="F14" s="1">
        <f t="shared" si="2"/>
        <v>0.99848677263052921</v>
      </c>
    </row>
    <row r="15" spans="2:6" x14ac:dyDescent="0.3">
      <c r="B15" s="1">
        <v>0.6</v>
      </c>
      <c r="C15" s="1">
        <f t="shared" si="0"/>
        <v>2.8559999999999999</v>
      </c>
      <c r="D15" s="1">
        <v>346.19859300000002</v>
      </c>
      <c r="E15" s="1">
        <f t="shared" si="1"/>
        <v>0.98393695361956846</v>
      </c>
      <c r="F15" s="1">
        <f t="shared" si="2"/>
        <v>0.97940740598073628</v>
      </c>
    </row>
    <row r="16" spans="2:6" x14ac:dyDescent="0.3">
      <c r="B16" s="1">
        <v>0.65</v>
      </c>
      <c r="C16" s="1">
        <f t="shared" si="0"/>
        <v>2.7283749999999998</v>
      </c>
      <c r="D16" s="1">
        <v>339.45446500000003</v>
      </c>
      <c r="E16" s="1">
        <f t="shared" si="1"/>
        <v>0.93996813229404408</v>
      </c>
      <c r="F16" s="1">
        <f t="shared" si="2"/>
        <v>0.9603280421599768</v>
      </c>
    </row>
    <row r="17" spans="2:6" x14ac:dyDescent="0.3">
      <c r="B17" s="1">
        <v>0.7</v>
      </c>
      <c r="C17" s="1">
        <f t="shared" si="0"/>
        <v>2.5140000000000002</v>
      </c>
      <c r="D17" s="1">
        <v>320.32198</v>
      </c>
      <c r="E17" s="1">
        <f t="shared" si="1"/>
        <v>0.86611257051806567</v>
      </c>
      <c r="F17" s="1">
        <f t="shared" si="2"/>
        <v>0.90620160177951181</v>
      </c>
    </row>
    <row r="18" spans="2:6" x14ac:dyDescent="0.3">
      <c r="B18" s="1">
        <v>0.75</v>
      </c>
      <c r="C18" s="1">
        <f t="shared" si="0"/>
        <v>2.21875</v>
      </c>
      <c r="D18" s="1">
        <v>237.62868700000001</v>
      </c>
      <c r="E18" s="1">
        <f t="shared" si="1"/>
        <v>0.764394298264502</v>
      </c>
      <c r="F18" s="1">
        <f t="shared" si="2"/>
        <v>0.67225950834895021</v>
      </c>
    </row>
    <row r="19" spans="2:6" x14ac:dyDescent="0.3">
      <c r="B19" s="1">
        <v>0.8</v>
      </c>
      <c r="C19" s="1">
        <f t="shared" si="0"/>
        <v>1.855999999999999</v>
      </c>
      <c r="D19" s="1">
        <v>208.48557299999999</v>
      </c>
      <c r="E19" s="1">
        <f t="shared" si="1"/>
        <v>0.63942121355669401</v>
      </c>
      <c r="F19" s="1">
        <f t="shared" si="2"/>
        <v>0.58981266349727024</v>
      </c>
    </row>
    <row r="20" spans="2:6" x14ac:dyDescent="0.3">
      <c r="B20" s="1">
        <v>0.85</v>
      </c>
      <c r="C20" s="1">
        <f t="shared" si="0"/>
        <v>1.4392500000000008</v>
      </c>
      <c r="D20" s="1">
        <v>179.33318800000001</v>
      </c>
      <c r="E20" s="1">
        <f t="shared" si="1"/>
        <v>0.49584427888549187</v>
      </c>
      <c r="F20" s="1">
        <f t="shared" si="2"/>
        <v>0.50733959067631362</v>
      </c>
    </row>
    <row r="21" spans="2:6" x14ac:dyDescent="0.3">
      <c r="B21" s="1">
        <v>0.9</v>
      </c>
      <c r="C21" s="1">
        <f t="shared" si="0"/>
        <v>0.98199999999999954</v>
      </c>
      <c r="D21" s="1">
        <v>81.394654000000003</v>
      </c>
      <c r="E21" s="1">
        <f t="shared" si="1"/>
        <v>0.33831445674174221</v>
      </c>
      <c r="F21" s="1">
        <f t="shared" si="2"/>
        <v>0.2302682002374272</v>
      </c>
    </row>
    <row r="22" spans="2:6" x14ac:dyDescent="0.3">
      <c r="B22" s="1">
        <v>0.95</v>
      </c>
      <c r="C22" s="1">
        <f t="shared" si="0"/>
        <v>0.49775000000000025</v>
      </c>
      <c r="D22" s="1">
        <v>7.1908609999999999</v>
      </c>
      <c r="E22" s="1">
        <f t="shared" si="1"/>
        <v>0.17148270961629569</v>
      </c>
      <c r="F22" s="1">
        <f t="shared" si="2"/>
        <v>2.0343186428773391E-2</v>
      </c>
    </row>
    <row r="23" spans="2:6" x14ac:dyDescent="0.3">
      <c r="B23" s="1">
        <v>1</v>
      </c>
      <c r="C23" s="1">
        <f t="shared" si="0"/>
        <v>0</v>
      </c>
      <c r="D23" s="1">
        <v>0</v>
      </c>
      <c r="E23" s="1">
        <f t="shared" si="1"/>
        <v>0</v>
      </c>
      <c r="F23" s="1">
        <f t="shared" si="2"/>
        <v>0</v>
      </c>
    </row>
    <row r="25" spans="2:6" x14ac:dyDescent="0.3">
      <c r="B25" t="s">
        <v>5</v>
      </c>
      <c r="C25">
        <f>SQRT(SUMXMY2(F3:F23, E3:E23)/COUNT(E3:E23))</f>
        <v>5.4423898690709162E-2</v>
      </c>
    </row>
    <row r="26" spans="2:6" x14ac:dyDescent="0.3">
      <c r="B26" t="s">
        <v>6</v>
      </c>
      <c r="C26">
        <v>5.4424E-2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6"/>
  <sheetViews>
    <sheetView workbookViewId="0">
      <selection activeCell="J22" sqref="J22"/>
    </sheetView>
  </sheetViews>
  <sheetFormatPr baseColWidth="10" defaultColWidth="8.88671875" defaultRowHeight="14.4" x14ac:dyDescent="0.3"/>
  <cols>
    <col min="2" max="2" width="19.33203125" customWidth="1"/>
    <col min="3" max="3" width="14.6640625" customWidth="1"/>
    <col min="4" max="4" width="19.44140625" customWidth="1"/>
    <col min="5" max="5" width="22.5546875" customWidth="1"/>
    <col min="6" max="6" width="25.6640625" customWidth="1"/>
  </cols>
  <sheetData>
    <row r="2" spans="2:6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3">
      <c r="B3" s="1">
        <v>0</v>
      </c>
      <c r="C3" s="1">
        <f t="shared" ref="C3:C23" si="0">12*B3^2 - 13*B3^3 + IF(B3&gt;=2/3, 27*(B3-2/3)^3, 0)</f>
        <v>0</v>
      </c>
      <c r="D3" s="1">
        <v>0</v>
      </c>
      <c r="E3" s="1">
        <f t="shared" ref="E3:E23" si="1">C3/MAX($C$3:$C$23)</f>
        <v>0</v>
      </c>
      <c r="F3" s="1">
        <f t="shared" ref="F3:F23" si="2">D3/MAX($D$3:$D$23)</f>
        <v>0</v>
      </c>
    </row>
    <row r="4" spans="2:6" x14ac:dyDescent="0.3">
      <c r="B4" s="1">
        <v>0.05</v>
      </c>
      <c r="C4" s="1">
        <f t="shared" si="0"/>
        <v>2.8375000000000004E-2</v>
      </c>
      <c r="D4" s="1">
        <v>20.386889</v>
      </c>
      <c r="E4" s="1">
        <f t="shared" si="1"/>
        <v>1.876653439153439E-2</v>
      </c>
      <c r="F4" s="1">
        <f t="shared" si="2"/>
        <v>0.16228070046262311</v>
      </c>
    </row>
    <row r="5" spans="2:6" x14ac:dyDescent="0.3">
      <c r="B5" s="1">
        <v>0.1</v>
      </c>
      <c r="C5" s="1">
        <f t="shared" si="0"/>
        <v>0.10700000000000003</v>
      </c>
      <c r="D5" s="1">
        <v>25.980474000000001</v>
      </c>
      <c r="E5" s="1">
        <f t="shared" si="1"/>
        <v>7.0767195767195756E-2</v>
      </c>
      <c r="F5" s="1">
        <f t="shared" si="2"/>
        <v>0.20680592900029857</v>
      </c>
    </row>
    <row r="6" spans="2:6" x14ac:dyDescent="0.3">
      <c r="B6" s="1">
        <v>0.15</v>
      </c>
      <c r="C6" s="1">
        <f t="shared" si="0"/>
        <v>0.22612500000000002</v>
      </c>
      <c r="D6" s="1">
        <v>40.936146000000001</v>
      </c>
      <c r="E6" s="1">
        <f t="shared" si="1"/>
        <v>0.1495535714285714</v>
      </c>
      <c r="F6" s="1">
        <f t="shared" si="2"/>
        <v>0.32585385867947814</v>
      </c>
    </row>
    <row r="7" spans="2:6" x14ac:dyDescent="0.3">
      <c r="B7" s="1">
        <v>0.2</v>
      </c>
      <c r="C7" s="1">
        <f t="shared" si="0"/>
        <v>0.37600000000000006</v>
      </c>
      <c r="D7" s="1">
        <v>59.507675999999996</v>
      </c>
      <c r="E7" s="1">
        <f t="shared" si="1"/>
        <v>0.24867724867724864</v>
      </c>
      <c r="F7" s="1">
        <f t="shared" si="2"/>
        <v>0.47368420675576473</v>
      </c>
    </row>
    <row r="8" spans="2:6" x14ac:dyDescent="0.3">
      <c r="B8" s="1">
        <v>0.25</v>
      </c>
      <c r="C8" s="1">
        <f t="shared" si="0"/>
        <v>0.546875</v>
      </c>
      <c r="D8" s="1">
        <v>63.234721</v>
      </c>
      <c r="E8" s="1">
        <f t="shared" si="1"/>
        <v>0.36168981481481471</v>
      </c>
      <c r="F8" s="1">
        <f t="shared" si="2"/>
        <v>0.50335167947588977</v>
      </c>
    </row>
    <row r="9" spans="2:6" x14ac:dyDescent="0.3">
      <c r="B9" s="1">
        <v>0.3</v>
      </c>
      <c r="C9" s="1">
        <f t="shared" si="0"/>
        <v>0.72900000000000009</v>
      </c>
      <c r="D9" s="1">
        <v>78.190079999999995</v>
      </c>
      <c r="E9" s="1">
        <f t="shared" si="1"/>
        <v>0.48214285714285704</v>
      </c>
      <c r="F9" s="1">
        <f t="shared" si="2"/>
        <v>0.62239711765873329</v>
      </c>
    </row>
    <row r="10" spans="2:6" x14ac:dyDescent="0.3">
      <c r="B10" s="1">
        <v>0.35</v>
      </c>
      <c r="C10" s="1">
        <f t="shared" si="0"/>
        <v>0.91262499999999991</v>
      </c>
      <c r="D10" s="1">
        <v>85.939406000000005</v>
      </c>
      <c r="E10" s="1">
        <f t="shared" si="1"/>
        <v>0.60358796296296269</v>
      </c>
      <c r="F10" s="1">
        <f t="shared" si="2"/>
        <v>0.68408215706779762</v>
      </c>
    </row>
    <row r="11" spans="2:6" x14ac:dyDescent="0.3">
      <c r="B11" s="1">
        <v>0.4</v>
      </c>
      <c r="C11" s="1">
        <f t="shared" si="0"/>
        <v>1.0880000000000001</v>
      </c>
      <c r="D11" s="1">
        <v>94.126780999999994</v>
      </c>
      <c r="E11" s="1">
        <f t="shared" si="1"/>
        <v>0.71957671957671943</v>
      </c>
      <c r="F11" s="1">
        <f t="shared" si="2"/>
        <v>0.74925408937930271</v>
      </c>
    </row>
    <row r="12" spans="2:6" x14ac:dyDescent="0.3">
      <c r="B12" s="1">
        <v>0.45</v>
      </c>
      <c r="C12" s="1">
        <f t="shared" si="0"/>
        <v>1.2453750000000001</v>
      </c>
      <c r="D12" s="1">
        <v>111.85239199999999</v>
      </c>
      <c r="E12" s="1">
        <f t="shared" si="1"/>
        <v>0.82366071428571408</v>
      </c>
      <c r="F12" s="1">
        <f t="shared" si="2"/>
        <v>0.89035087806579516</v>
      </c>
    </row>
    <row r="13" spans="2:6" x14ac:dyDescent="0.3">
      <c r="B13" s="1">
        <v>0.5</v>
      </c>
      <c r="C13" s="1">
        <f t="shared" si="0"/>
        <v>1.375</v>
      </c>
      <c r="D13" s="1">
        <v>115.709371</v>
      </c>
      <c r="E13" s="1">
        <f t="shared" si="1"/>
        <v>0.90939153439153408</v>
      </c>
      <c r="F13" s="1">
        <f t="shared" si="2"/>
        <v>0.92105263220737255</v>
      </c>
    </row>
    <row r="14" spans="2:6" x14ac:dyDescent="0.3">
      <c r="B14" s="1">
        <v>0.55000000000000004</v>
      </c>
      <c r="C14" s="1">
        <f t="shared" si="0"/>
        <v>1.4671250000000002</v>
      </c>
      <c r="D14" s="1">
        <v>114.05638</v>
      </c>
      <c r="E14" s="1">
        <f t="shared" si="1"/>
        <v>0.9703207671957671</v>
      </c>
      <c r="F14" s="1">
        <f t="shared" si="2"/>
        <v>0.90789473757526795</v>
      </c>
    </row>
    <row r="15" spans="2:6" x14ac:dyDescent="0.3">
      <c r="B15" s="1">
        <v>0.6</v>
      </c>
      <c r="C15" s="1">
        <f t="shared" si="0"/>
        <v>1.5120000000000005</v>
      </c>
      <c r="D15" s="1">
        <v>117.913359</v>
      </c>
      <c r="E15" s="1">
        <f t="shared" si="1"/>
        <v>1</v>
      </c>
      <c r="F15" s="1">
        <f t="shared" si="2"/>
        <v>0.93859649171684523</v>
      </c>
    </row>
    <row r="16" spans="2:6" x14ac:dyDescent="0.3">
      <c r="B16" s="1">
        <v>0.65</v>
      </c>
      <c r="C16" s="1">
        <f t="shared" si="0"/>
        <v>1.4998749999999994</v>
      </c>
      <c r="D16" s="1">
        <v>116.260368</v>
      </c>
      <c r="E16" s="1">
        <f t="shared" si="1"/>
        <v>0.99198082010581945</v>
      </c>
      <c r="F16" s="1">
        <f t="shared" si="2"/>
        <v>0.92543859708474074</v>
      </c>
    </row>
    <row r="17" spans="2:6" x14ac:dyDescent="0.3">
      <c r="B17" s="1">
        <v>0.7</v>
      </c>
      <c r="C17" s="1">
        <f t="shared" si="0"/>
        <v>1.4220000000000002</v>
      </c>
      <c r="D17" s="1">
        <v>125.62731700000001</v>
      </c>
      <c r="E17" s="1">
        <f t="shared" si="1"/>
        <v>0.94047619047619024</v>
      </c>
      <c r="F17" s="1">
        <f t="shared" si="2"/>
        <v>1</v>
      </c>
    </row>
    <row r="18" spans="2:6" x14ac:dyDescent="0.3">
      <c r="B18" s="1">
        <v>0.75</v>
      </c>
      <c r="C18" s="1">
        <f t="shared" si="0"/>
        <v>1.28125</v>
      </c>
      <c r="D18" s="1">
        <v>116.948105</v>
      </c>
      <c r="E18" s="1">
        <f t="shared" si="1"/>
        <v>0.84738756613756583</v>
      </c>
      <c r="F18" s="1">
        <f t="shared" si="2"/>
        <v>0.93091301949877658</v>
      </c>
    </row>
    <row r="19" spans="2:6" x14ac:dyDescent="0.3">
      <c r="B19" s="1">
        <v>0.8</v>
      </c>
      <c r="C19" s="1">
        <f t="shared" si="0"/>
        <v>1.0880000000000001</v>
      </c>
      <c r="D19" s="1">
        <v>106.23010499999999</v>
      </c>
      <c r="E19" s="1">
        <f t="shared" si="1"/>
        <v>0.71957671957671943</v>
      </c>
      <c r="F19" s="1">
        <f t="shared" si="2"/>
        <v>0.84559718011011886</v>
      </c>
    </row>
    <row r="20" spans="2:6" x14ac:dyDescent="0.3">
      <c r="B20" s="1">
        <v>0.85</v>
      </c>
      <c r="C20" s="1">
        <f t="shared" si="0"/>
        <v>0.85274999999999912</v>
      </c>
      <c r="D20" s="1">
        <v>104.138434</v>
      </c>
      <c r="E20" s="1">
        <f t="shared" si="1"/>
        <v>0.56398809523809446</v>
      </c>
      <c r="F20" s="1">
        <f t="shared" si="2"/>
        <v>0.8289473697826405</v>
      </c>
    </row>
    <row r="21" spans="2:6" x14ac:dyDescent="0.3">
      <c r="B21" s="1">
        <v>0.9</v>
      </c>
      <c r="C21" s="1">
        <f t="shared" si="0"/>
        <v>0.58600000000000052</v>
      </c>
      <c r="D21" s="1">
        <v>86.742177999999996</v>
      </c>
      <c r="E21" s="1">
        <f t="shared" si="1"/>
        <v>0.38756613756613778</v>
      </c>
      <c r="F21" s="1">
        <f t="shared" si="2"/>
        <v>0.69047226408568441</v>
      </c>
    </row>
    <row r="22" spans="2:6" x14ac:dyDescent="0.3">
      <c r="B22" s="1">
        <v>0.95</v>
      </c>
      <c r="C22" s="1">
        <f t="shared" si="0"/>
        <v>0.29825000000000157</v>
      </c>
      <c r="D22" s="1">
        <v>79.030928000000003</v>
      </c>
      <c r="E22" s="1">
        <f t="shared" si="1"/>
        <v>0.19725529100529199</v>
      </c>
      <c r="F22" s="1">
        <f t="shared" si="2"/>
        <v>0.62909031162386442</v>
      </c>
    </row>
    <row r="23" spans="2:6" x14ac:dyDescent="0.3">
      <c r="B23" s="1">
        <v>1</v>
      </c>
      <c r="C23" s="1">
        <f t="shared" si="0"/>
        <v>0</v>
      </c>
      <c r="D23" s="1">
        <v>0</v>
      </c>
      <c r="E23" s="1">
        <f t="shared" si="1"/>
        <v>0</v>
      </c>
      <c r="F23" s="1">
        <f t="shared" si="2"/>
        <v>0</v>
      </c>
    </row>
    <row r="25" spans="2:6" x14ac:dyDescent="0.3">
      <c r="B25" t="s">
        <v>5</v>
      </c>
      <c r="C25">
        <f>SQRT(SUMXMY2(F3:F23, E3:E23)/COUNT(E3:E23))</f>
        <v>0.1632160079592502</v>
      </c>
    </row>
    <row r="26" spans="2:6" x14ac:dyDescent="0.3">
      <c r="B26" t="s">
        <v>6</v>
      </c>
      <c r="C26">
        <v>0.163216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6"/>
  <sheetViews>
    <sheetView workbookViewId="0">
      <selection activeCell="B2" sqref="B2:F2"/>
    </sheetView>
  </sheetViews>
  <sheetFormatPr baseColWidth="10" defaultColWidth="8.88671875" defaultRowHeight="14.4" x14ac:dyDescent="0.3"/>
  <cols>
    <col min="2" max="2" width="18.6640625" customWidth="1"/>
    <col min="3" max="3" width="17" customWidth="1"/>
    <col min="4" max="4" width="16.33203125" customWidth="1"/>
    <col min="5" max="5" width="21.21875" customWidth="1"/>
    <col min="6" max="6" width="26.109375" customWidth="1"/>
  </cols>
  <sheetData>
    <row r="2" spans="2:6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3">
      <c r="B3" s="1">
        <v>0</v>
      </c>
      <c r="C3" s="1">
        <f t="shared" ref="C3:C23" si="0">2*B3^2 - B3^3 + IF(B3&gt;=2/3, (B3-2/3)^3, 0)</f>
        <v>0</v>
      </c>
      <c r="D3" s="1">
        <v>0</v>
      </c>
      <c r="E3" s="1">
        <f t="shared" ref="E3:E23" si="1">C3/MAX($C$3:$C$23)</f>
        <v>0</v>
      </c>
      <c r="F3" s="1">
        <f t="shared" ref="F3:F23" si="2">D3/MAX($D$3:$D$23)</f>
        <v>0</v>
      </c>
    </row>
    <row r="4" spans="2:6" x14ac:dyDescent="0.3">
      <c r="B4" s="1">
        <v>0.05</v>
      </c>
      <c r="C4" s="1">
        <f t="shared" si="0"/>
        <v>4.8750000000000009E-3</v>
      </c>
      <c r="D4" s="1">
        <v>1.7622770000000001</v>
      </c>
      <c r="E4" s="1">
        <f t="shared" si="1"/>
        <v>4.7008928571428583E-3</v>
      </c>
      <c r="F4" s="1">
        <f t="shared" si="2"/>
        <v>3.8021706865608352E-3</v>
      </c>
    </row>
    <row r="5" spans="2:6" x14ac:dyDescent="0.3">
      <c r="B5" s="1">
        <v>0.1</v>
      </c>
      <c r="C5" s="1">
        <f t="shared" si="0"/>
        <v>1.9000000000000003E-2</v>
      </c>
      <c r="D5" s="1">
        <v>7.8385249999999997</v>
      </c>
      <c r="E5" s="1">
        <f t="shared" si="1"/>
        <v>1.8321428571428575E-2</v>
      </c>
      <c r="F5" s="1">
        <f t="shared" si="2"/>
        <v>1.6911875931464957E-2</v>
      </c>
    </row>
    <row r="6" spans="2:6" x14ac:dyDescent="0.3">
      <c r="B6" s="1">
        <v>0.15</v>
      </c>
      <c r="C6" s="1">
        <f t="shared" si="0"/>
        <v>4.1624999999999995E-2</v>
      </c>
      <c r="D6" s="1">
        <v>25.678360999999999</v>
      </c>
      <c r="E6" s="1">
        <f t="shared" si="1"/>
        <v>4.0138392857142852E-2</v>
      </c>
      <c r="F6" s="1">
        <f t="shared" si="2"/>
        <v>5.5401909843416766E-2</v>
      </c>
    </row>
    <row r="7" spans="2:6" x14ac:dyDescent="0.3">
      <c r="B7" s="1">
        <v>0.2</v>
      </c>
      <c r="C7" s="1">
        <f t="shared" si="0"/>
        <v>7.2000000000000008E-2</v>
      </c>
      <c r="D7" s="1">
        <v>45.082621000000003</v>
      </c>
      <c r="E7" s="1">
        <f t="shared" si="1"/>
        <v>6.9428571428571437E-2</v>
      </c>
      <c r="F7" s="1">
        <f t="shared" si="2"/>
        <v>9.7267240076067449E-2</v>
      </c>
    </row>
    <row r="8" spans="2:6" x14ac:dyDescent="0.3">
      <c r="B8" s="1">
        <v>0.25</v>
      </c>
      <c r="C8" s="1">
        <f t="shared" si="0"/>
        <v>0.109375</v>
      </c>
      <c r="D8" s="1">
        <v>66.237048000000001</v>
      </c>
      <c r="E8" s="1">
        <f t="shared" si="1"/>
        <v>0.10546875</v>
      </c>
      <c r="F8" s="1">
        <f t="shared" si="2"/>
        <v>0.14290861327130921</v>
      </c>
    </row>
    <row r="9" spans="2:6" x14ac:dyDescent="0.3">
      <c r="B9" s="1">
        <v>0.3</v>
      </c>
      <c r="C9" s="1">
        <f t="shared" si="0"/>
        <v>0.153</v>
      </c>
      <c r="D9" s="1">
        <v>82.134112000000002</v>
      </c>
      <c r="E9" s="1">
        <f t="shared" si="1"/>
        <v>0.1475357142857143</v>
      </c>
      <c r="F9" s="1">
        <f t="shared" si="2"/>
        <v>0.17720705258770586</v>
      </c>
    </row>
    <row r="10" spans="2:6" x14ac:dyDescent="0.3">
      <c r="B10" s="1">
        <v>0.35</v>
      </c>
      <c r="C10" s="1">
        <f t="shared" si="0"/>
        <v>0.20212499999999997</v>
      </c>
      <c r="D10" s="1">
        <v>101.087801</v>
      </c>
      <c r="E10" s="1">
        <f t="shared" si="1"/>
        <v>0.19490624999999998</v>
      </c>
      <c r="F10" s="1">
        <f t="shared" si="2"/>
        <v>0.21810026104357888</v>
      </c>
    </row>
    <row r="11" spans="2:6" x14ac:dyDescent="0.3">
      <c r="B11" s="1">
        <v>0.4</v>
      </c>
      <c r="C11" s="1">
        <f t="shared" si="0"/>
        <v>0.25600000000000006</v>
      </c>
      <c r="D11" s="1">
        <v>123.962442</v>
      </c>
      <c r="E11" s="1">
        <f t="shared" si="1"/>
        <v>0.24685714285714294</v>
      </c>
      <c r="F11" s="1">
        <f t="shared" si="2"/>
        <v>0.26745305261709573</v>
      </c>
    </row>
    <row r="12" spans="2:6" x14ac:dyDescent="0.3">
      <c r="B12" s="1">
        <v>0.45</v>
      </c>
      <c r="C12" s="1">
        <f t="shared" si="0"/>
        <v>0.31387500000000002</v>
      </c>
      <c r="D12" s="1">
        <v>157.605716</v>
      </c>
      <c r="E12" s="1">
        <f t="shared" si="1"/>
        <v>0.30266517857142861</v>
      </c>
      <c r="F12" s="1">
        <f t="shared" si="2"/>
        <v>0.34003952466589077</v>
      </c>
    </row>
    <row r="13" spans="2:6" x14ac:dyDescent="0.3">
      <c r="B13" s="1">
        <v>0.5</v>
      </c>
      <c r="C13" s="1">
        <f t="shared" si="0"/>
        <v>0.375</v>
      </c>
      <c r="D13" s="1">
        <v>181.06635800000001</v>
      </c>
      <c r="E13" s="1">
        <f t="shared" si="1"/>
        <v>0.3616071428571429</v>
      </c>
      <c r="F13" s="1">
        <f t="shared" si="2"/>
        <v>0.39065663270299161</v>
      </c>
    </row>
    <row r="14" spans="2:6" x14ac:dyDescent="0.3">
      <c r="B14" s="1">
        <v>0.55000000000000004</v>
      </c>
      <c r="C14" s="1">
        <f t="shared" si="0"/>
        <v>0.43862500000000004</v>
      </c>
      <c r="D14" s="1">
        <v>206.137721</v>
      </c>
      <c r="E14" s="1">
        <f t="shared" si="1"/>
        <v>0.42295982142857147</v>
      </c>
      <c r="F14" s="1">
        <f t="shared" si="2"/>
        <v>0.44474892436356817</v>
      </c>
    </row>
    <row r="15" spans="2:6" x14ac:dyDescent="0.3">
      <c r="B15" s="1">
        <v>0.6</v>
      </c>
      <c r="C15" s="1">
        <f t="shared" si="0"/>
        <v>0.504</v>
      </c>
      <c r="D15" s="1">
        <v>241.86206200000001</v>
      </c>
      <c r="E15" s="1">
        <f t="shared" si="1"/>
        <v>0.48600000000000004</v>
      </c>
      <c r="F15" s="1">
        <f t="shared" si="2"/>
        <v>0.52182536702661342</v>
      </c>
    </row>
    <row r="16" spans="2:6" x14ac:dyDescent="0.3">
      <c r="B16" s="1">
        <v>0.65</v>
      </c>
      <c r="C16" s="1">
        <f t="shared" si="0"/>
        <v>0.57037500000000008</v>
      </c>
      <c r="D16" s="1">
        <v>264.635426</v>
      </c>
      <c r="E16" s="1">
        <f t="shared" si="1"/>
        <v>0.55000446428571437</v>
      </c>
      <c r="F16" s="1">
        <f t="shared" si="2"/>
        <v>0.57095965013601102</v>
      </c>
    </row>
    <row r="17" spans="2:6" x14ac:dyDescent="0.3">
      <c r="B17" s="1">
        <v>0.7</v>
      </c>
      <c r="C17" s="1">
        <f t="shared" si="0"/>
        <v>0.63703703703703707</v>
      </c>
      <c r="D17" s="1">
        <v>295.30426999999997</v>
      </c>
      <c r="E17" s="1">
        <f t="shared" si="1"/>
        <v>0.61428571428571432</v>
      </c>
      <c r="F17" s="1">
        <f t="shared" si="2"/>
        <v>0.63712869146578321</v>
      </c>
    </row>
    <row r="18" spans="2:6" x14ac:dyDescent="0.3">
      <c r="B18" s="1">
        <v>0.75</v>
      </c>
      <c r="C18" s="1">
        <f t="shared" si="0"/>
        <v>0.70370370370370372</v>
      </c>
      <c r="D18" s="1">
        <v>326.70581199999998</v>
      </c>
      <c r="E18" s="1">
        <f t="shared" si="1"/>
        <v>0.6785714285714286</v>
      </c>
      <c r="F18" s="1">
        <f t="shared" si="2"/>
        <v>0.70487855286964252</v>
      </c>
    </row>
    <row r="19" spans="2:6" x14ac:dyDescent="0.3">
      <c r="B19" s="1">
        <v>0.8</v>
      </c>
      <c r="C19" s="1">
        <f t="shared" si="0"/>
        <v>0.77037037037037048</v>
      </c>
      <c r="D19" s="1">
        <v>357.40133500000002</v>
      </c>
      <c r="E19" s="1">
        <f t="shared" si="1"/>
        <v>0.74285714285714299</v>
      </c>
      <c r="F19" s="1">
        <f t="shared" si="2"/>
        <v>0.77110515502086729</v>
      </c>
    </row>
    <row r="20" spans="2:6" x14ac:dyDescent="0.3">
      <c r="B20" s="1">
        <v>0.85</v>
      </c>
      <c r="C20" s="1">
        <f t="shared" si="0"/>
        <v>0.83703703703703691</v>
      </c>
      <c r="D20" s="1">
        <v>379.07957299999998</v>
      </c>
      <c r="E20" s="1">
        <f t="shared" si="1"/>
        <v>0.80714285714285705</v>
      </c>
      <c r="F20" s="1">
        <f t="shared" si="2"/>
        <v>0.81787666770581358</v>
      </c>
    </row>
    <row r="21" spans="2:6" x14ac:dyDescent="0.3">
      <c r="B21" s="1">
        <v>0.9</v>
      </c>
      <c r="C21" s="1">
        <f t="shared" si="0"/>
        <v>0.90370370370370368</v>
      </c>
      <c r="D21" s="1">
        <v>416.41092099999997</v>
      </c>
      <c r="E21" s="1">
        <f t="shared" si="1"/>
        <v>0.87142857142857144</v>
      </c>
      <c r="F21" s="1">
        <f t="shared" si="2"/>
        <v>0.89842028091497506</v>
      </c>
    </row>
    <row r="22" spans="2:6" x14ac:dyDescent="0.3">
      <c r="B22" s="1">
        <v>0.95</v>
      </c>
      <c r="C22" s="1">
        <f t="shared" si="0"/>
        <v>0.97037037037037044</v>
      </c>
      <c r="D22" s="1">
        <v>447.77652699999999</v>
      </c>
      <c r="E22" s="1">
        <f t="shared" si="1"/>
        <v>0.93571428571428583</v>
      </c>
      <c r="F22" s="1">
        <f t="shared" si="2"/>
        <v>0.96609260921490558</v>
      </c>
    </row>
    <row r="23" spans="2:6" x14ac:dyDescent="0.3">
      <c r="B23" s="1">
        <v>1</v>
      </c>
      <c r="C23" s="1">
        <f t="shared" si="0"/>
        <v>1.037037037037037</v>
      </c>
      <c r="D23" s="1">
        <v>463.49234300000001</v>
      </c>
      <c r="E23" s="1">
        <f t="shared" si="1"/>
        <v>1</v>
      </c>
      <c r="F23" s="1">
        <f t="shared" si="2"/>
        <v>1</v>
      </c>
    </row>
    <row r="25" spans="2:6" x14ac:dyDescent="0.3">
      <c r="B25" t="s">
        <v>5</v>
      </c>
      <c r="C25">
        <f>SQRT(SUMXMY2(F3:F23, E3:E23)/COUNT(E3:E23))</f>
        <v>2.436970097086107E-2</v>
      </c>
    </row>
    <row r="26" spans="2:6" x14ac:dyDescent="0.3">
      <c r="B26" t="s">
        <v>6</v>
      </c>
      <c r="C26">
        <v>2.4369999999999999E-2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1_Empotrado_Empotrado</vt:lpstr>
      <vt:lpstr>2_Abisagrado_Abisagrado</vt:lpstr>
      <vt:lpstr>3_Empotrado_Abisagrado</vt:lpstr>
      <vt:lpstr>4_Empotrado_Libre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RIVERA RECINOS, SEBASTIAN</cp:lastModifiedBy>
  <dcterms:created xsi:type="dcterms:W3CDTF">2026-10-26T00:40:41Z</dcterms:created>
  <dcterms:modified xsi:type="dcterms:W3CDTF">2026-10-26T00:45:58Z</dcterms:modified>
</cp:coreProperties>
</file>